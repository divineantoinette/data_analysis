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openxmlformats-officedocument.spreadsheetml.pivotTable+xml" PartName="/xl/pivotTables/pivotTable5.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Pivot Table 1" sheetId="2" r:id="rId6"/>
    <sheet state="visible" name="Dashboard" sheetId="3" r:id="rId7"/>
  </sheets>
  <definedNames>
    <definedName hidden="1" localSheetId="0" name="Z_CFA03299_46A3_43F4_A576_C26D1B352B43_.wvu.FilterData">Data!$A$1:$G$31</definedName>
    <definedName name="SlicerCache_Table_1_Col_2">#N/A</definedName>
    <definedName name="SlicerCache_Table_1_Col_3">#N/A</definedName>
    <definedName name="SlicerCache_Table_1_Col_4">#N/A</definedName>
  </definedNames>
  <calcPr/>
  <customWorkbookViews>
    <customWorkbookView activeSheetId="0" maximized="1" windowHeight="0" windowWidth="0" guid="{CFA03299-46A3-43F4-A576-C26D1B352B43}" name="Filter 1"/>
  </customWorkbookViews>
  <pivotCaches>
    <pivotCache cacheId="0" r:id="rId8"/>
  </pivotCaches>
  <extLst>
    <ext uri="{46BE6895-7355-4a93-B00E-2C351335B9C9}">
      <x15:slicerCaches>
        <x14:slicerCache r:id="rId9"/>
        <x14:slicerCache r:id="rId10"/>
        <x14:slicerCache r:id="rId11"/>
      </x15:slicerCaches>
    </ext>
  </extLst>
</workbook>
</file>

<file path=xl/sharedStrings.xml><?xml version="1.0" encoding="utf-8"?>
<sst xmlns="http://schemas.openxmlformats.org/spreadsheetml/2006/main" count="153" uniqueCount="54">
  <si>
    <t>Order Date</t>
  </si>
  <si>
    <t>Year</t>
  </si>
  <si>
    <t>Store</t>
  </si>
  <si>
    <t>Item</t>
  </si>
  <si>
    <t>Quantity Sold</t>
  </si>
  <si>
    <t>Unit Cost(£)</t>
  </si>
  <si>
    <t>Total Sale</t>
  </si>
  <si>
    <t>Stockpile</t>
  </si>
  <si>
    <t>Pencil</t>
  </si>
  <si>
    <t>Redding</t>
  </si>
  <si>
    <t>Book</t>
  </si>
  <si>
    <t>Laos</t>
  </si>
  <si>
    <t>Ink</t>
  </si>
  <si>
    <t>Reditch</t>
  </si>
  <si>
    <t>Table</t>
  </si>
  <si>
    <t>London</t>
  </si>
  <si>
    <t>Chair</t>
  </si>
  <si>
    <t>Hull</t>
  </si>
  <si>
    <t>Printing Paper</t>
  </si>
  <si>
    <t>Grimsby</t>
  </si>
  <si>
    <t>Staple Pin</t>
  </si>
  <si>
    <t>Leeds</t>
  </si>
  <si>
    <t>Green Pen</t>
  </si>
  <si>
    <t>Boston</t>
  </si>
  <si>
    <t>Blue Pen</t>
  </si>
  <si>
    <t>Humber</t>
  </si>
  <si>
    <t>Red Pen</t>
  </si>
  <si>
    <t>Diary</t>
  </si>
  <si>
    <t>Note Pad</t>
  </si>
  <si>
    <t>Printer</t>
  </si>
  <si>
    <t>Eraser</t>
  </si>
  <si>
    <t>Sharpener</t>
  </si>
  <si>
    <t>Marker</t>
  </si>
  <si>
    <t>Pen</t>
  </si>
  <si>
    <t>Paper</t>
  </si>
  <si>
    <t>Folder</t>
  </si>
  <si>
    <t>Binder</t>
  </si>
  <si>
    <t>Whiteboard</t>
  </si>
  <si>
    <t>Clip</t>
  </si>
  <si>
    <t>Chalk</t>
  </si>
  <si>
    <t>Ruler</t>
  </si>
  <si>
    <t>Glue Stick</t>
  </si>
  <si>
    <t>Highlighter</t>
  </si>
  <si>
    <t>Compass</t>
  </si>
  <si>
    <t>Tape</t>
  </si>
  <si>
    <t>Scissors</t>
  </si>
  <si>
    <t>Notebook</t>
  </si>
  <si>
    <t>Columns</t>
  </si>
  <si>
    <t>Rows</t>
  </si>
  <si>
    <t>Values</t>
  </si>
  <si>
    <t>Sales Dashboard</t>
  </si>
  <si>
    <t>SUM of Total Sale</t>
  </si>
  <si>
    <t>SUM of Quantity Sold</t>
  </si>
  <si>
    <t>Grand Total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</si>
</sst>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yyyy-mm-dd"/>
  </numFmts>
  <fonts count="3">
    <font>
      <sz val="10.0"/>
      <color rgb="FF000000"/>
      <name val="Arial"/>
      <scheme val="minor"/>
    </font>
    <font>
      <color theme="1"/>
      <name val="Arial"/>
      <scheme val="minor"/>
    </font>
    <font>
      <b/>
      <sz val="23.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0" xfId="0" applyFont="1"/>
    <xf borderId="0" fillId="0" fontId="2" numFmtId="0" xfId="0" applyAlignment="1" applyFont="1">
      <alignment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microsoft.com/office/2007/relationships/slicerCache" Target="slicerCaches/slicerCache3.xml"/><Relationship Id="rId10" Type="http://schemas.microsoft.com/office/2007/relationships/slicerCache" Target="slicerCaches/slicerCache2.xml"/><Relationship Id="rId9" Type="http://schemas.microsoft.com/office/2007/relationships/slicerCache" Target="slicerCaches/slicerCach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accent6"/>
                </a:solidFill>
                <a:latin typeface="+mn-lt"/>
              </a:defRPr>
            </a:pPr>
            <a:r>
              <a:rPr b="1">
                <a:solidFill>
                  <a:schemeClr val="accent6"/>
                </a:solidFill>
                <a:latin typeface="+mn-lt"/>
              </a:rPr>
              <a:t>Total Sales Per Store</a:t>
            </a:r>
          </a:p>
        </c:rich>
      </c:tx>
      <c:overlay val="0"/>
    </c:title>
    <c:view3D>
      <c:rotX val="15"/>
      <c:rotY val="20"/>
      <c:depthPercent val="100"/>
      <c:rAngAx val="1"/>
    </c:view3D>
    <c:plotArea>
      <c:layout/>
      <c:bar3DChart>
        <c:barDir val="col"/>
        <c:grouping val="clustered"/>
        <c:ser>
          <c:idx val="0"/>
          <c:order val="0"/>
          <c:tx>
            <c:strRef>
              <c:f>Dashboard!$B$50</c:f>
            </c:strRef>
          </c:tx>
          <c:spPr>
            <a:solidFill>
              <a:schemeClr val="accent1"/>
            </a:solidFill>
            <a:ln cmpd="sng">
              <a:solidFill>
                <a:srgbClr val="000000"/>
              </a:solidFill>
            </a:ln>
          </c:spPr>
          <c:dPt>
            <c:idx val="5"/>
            <c:spPr>
              <a:solidFill>
                <a:srgbClr val="D9D2E9"/>
              </a:solidFill>
              <a:ln cmpd="sng">
                <a:solidFill>
                  <a:srgbClr val="000000"/>
                </a:solidFill>
              </a:ln>
            </c:spPr>
          </c:dPt>
          <c:dLbls>
            <c:numFmt formatCode="General" sourceLinked="1"/>
            <c:txPr>
              <a:bodyPr/>
              <a:lstStyle/>
              <a:p>
                <a:pPr lvl="0">
                  <a:defRPr/>
                </a:pPr>
              </a:p>
            </c:txPr>
            <c:showLegendKey val="0"/>
            <c:showVal val="1"/>
            <c:showCatName val="0"/>
            <c:showSerName val="0"/>
            <c:showPercent val="0"/>
            <c:showBubbleSize val="0"/>
          </c:dLbls>
          <c:cat>
            <c:strRef>
              <c:f>Dashboard!$A$51:$A$60</c:f>
            </c:strRef>
          </c:cat>
          <c:val>
            <c:numRef>
              <c:f>Dashboard!$B$51:$B$60</c:f>
              <c:numCache/>
            </c:numRef>
          </c:val>
        </c:ser>
        <c:axId val="769149759"/>
        <c:axId val="589002334"/>
      </c:bar3DChart>
      <c:catAx>
        <c:axId val="76914975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Store</a:t>
                </a:r>
              </a:p>
            </c:rich>
          </c:tx>
          <c:overlay val="0"/>
        </c:title>
        <c:numFmt formatCode="General" sourceLinked="1"/>
        <c:majorTickMark val="none"/>
        <c:minorTickMark val="none"/>
        <c:spPr/>
        <c:txPr>
          <a:bodyPr/>
          <a:lstStyle/>
          <a:p>
            <a:pPr lvl="0">
              <a:defRPr b="0">
                <a:solidFill>
                  <a:srgbClr val="000000"/>
                </a:solidFill>
                <a:latin typeface="+mn-lt"/>
              </a:defRPr>
            </a:pPr>
          </a:p>
        </c:txPr>
        <c:crossAx val="589002334"/>
      </c:catAx>
      <c:valAx>
        <c:axId val="58900233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Total Sales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69149759"/>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accent6"/>
                </a:solidFill>
                <a:latin typeface="+mn-lt"/>
              </a:defRPr>
            </a:pPr>
            <a:r>
              <a:rPr b="1">
                <a:solidFill>
                  <a:schemeClr val="accent6"/>
                </a:solidFill>
                <a:latin typeface="+mn-lt"/>
              </a:rPr>
              <a:t>Total Sales Per Year</a:t>
            </a:r>
          </a:p>
        </c:rich>
      </c:tx>
      <c:overlay val="0"/>
    </c:title>
    <c:plotArea>
      <c:layout/>
      <c:pieChart>
        <c:varyColors val="1"/>
        <c:ser>
          <c:idx val="0"/>
          <c:order val="0"/>
          <c:tx>
            <c:strRef>
              <c:f>Dashboard!$H$50</c:f>
            </c:strRef>
          </c:tx>
          <c:dPt>
            <c:idx val="0"/>
            <c:spPr>
              <a:solidFill>
                <a:srgbClr val="D5A6BD"/>
              </a:solidFill>
            </c:spPr>
          </c:dPt>
          <c:dPt>
            <c:idx val="1"/>
            <c:spPr>
              <a:solidFill>
                <a:schemeClr val="accent6"/>
              </a:solidFill>
            </c:spPr>
          </c:dPt>
          <c:dLbls>
            <c:showLegendKey val="0"/>
            <c:showVal val="0"/>
            <c:showCatName val="0"/>
            <c:showSerName val="0"/>
            <c:showPercent val="1"/>
            <c:showBubbleSize val="0"/>
            <c:showLeaderLines val="1"/>
          </c:dLbls>
          <c:cat>
            <c:strRef>
              <c:f>Dashboard!$G$51:$G$52</c:f>
            </c:strRef>
          </c:cat>
          <c:val>
            <c:numRef>
              <c:f>Dashboard!$H$51:$H$52</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Arial"/>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accent6"/>
                </a:solidFill>
                <a:latin typeface="+mn-lt"/>
              </a:defRPr>
            </a:pPr>
            <a:r>
              <a:rPr b="1">
                <a:solidFill>
                  <a:schemeClr val="accent6"/>
                </a:solidFill>
                <a:latin typeface="+mn-lt"/>
              </a:rPr>
              <a:t>Quantity Sold Per Item</a:t>
            </a:r>
          </a:p>
        </c:rich>
      </c:tx>
      <c:overlay val="0"/>
    </c:title>
    <c:plotArea>
      <c:layout/>
      <c:barChart>
        <c:barDir val="bar"/>
        <c:ser>
          <c:idx val="0"/>
          <c:order val="0"/>
          <c:tx>
            <c:strRef>
              <c:f>Dashboard!$E$50</c:f>
            </c:strRef>
          </c:tx>
          <c:spPr>
            <a:solidFill>
              <a:schemeClr val="accent1"/>
            </a:solidFill>
            <a:ln cmpd="sng" w="38100">
              <a:solidFill>
                <a:srgbClr val="D9D2E9">
                  <a:alpha val="100000"/>
                </a:srgbClr>
              </a:solidFill>
            </a:ln>
          </c:spPr>
          <c:cat>
            <c:strRef>
              <c:f>Dashboard!$D$51:$D$80</c:f>
            </c:strRef>
          </c:cat>
          <c:val>
            <c:numRef>
              <c:f>Dashboard!$E$51:$E$80</c:f>
              <c:numCache/>
            </c:numRef>
          </c:val>
        </c:ser>
        <c:axId val="2039051753"/>
        <c:axId val="910069440"/>
      </c:barChart>
      <c:catAx>
        <c:axId val="203905175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Item</a:t>
                </a:r>
              </a:p>
            </c:rich>
          </c:tx>
          <c:overlay val="0"/>
        </c:title>
        <c:numFmt formatCode="General" sourceLinked="1"/>
        <c:majorTickMark val="none"/>
        <c:minorTickMark val="none"/>
        <c:spPr/>
        <c:txPr>
          <a:bodyPr/>
          <a:lstStyle/>
          <a:p>
            <a:pPr lvl="0">
              <a:defRPr b="1">
                <a:solidFill>
                  <a:srgbClr val="000000"/>
                </a:solidFill>
                <a:latin typeface="+mn-lt"/>
              </a:defRPr>
            </a:pPr>
          </a:p>
        </c:txPr>
        <c:crossAx val="910069440"/>
      </c:catAx>
      <c:valAx>
        <c:axId val="91006944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Quantity Sold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39051753"/>
        <c:crosses val="max"/>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accent6"/>
                </a:solidFill>
                <a:latin typeface="+mn-lt"/>
              </a:defRPr>
            </a:pPr>
            <a:r>
              <a:rPr b="1">
                <a:solidFill>
                  <a:schemeClr val="accent6"/>
                </a:solidFill>
                <a:latin typeface="+mn-lt"/>
              </a:rPr>
              <a:t>Total Sales Per Item</a:t>
            </a:r>
          </a:p>
        </c:rich>
      </c:tx>
      <c:overlay val="0"/>
    </c:title>
    <c:plotArea>
      <c:layout/>
      <c:barChart>
        <c:barDir val="bar"/>
        <c:ser>
          <c:idx val="0"/>
          <c:order val="0"/>
          <c:tx>
            <c:strRef>
              <c:f>Dashboard!$K$50</c:f>
            </c:strRef>
          </c:tx>
          <c:spPr>
            <a:solidFill>
              <a:schemeClr val="accent1"/>
            </a:solidFill>
            <a:ln cmpd="sng" w="38100">
              <a:solidFill>
                <a:srgbClr val="D5A6BD">
                  <a:alpha val="100000"/>
                </a:srgbClr>
              </a:solidFill>
            </a:ln>
          </c:spPr>
          <c:cat>
            <c:strRef>
              <c:f>Dashboard!$J$51:$J$80</c:f>
            </c:strRef>
          </c:cat>
          <c:val>
            <c:numRef>
              <c:f>Dashboard!$K$51:$K$80</c:f>
              <c:numCache/>
            </c:numRef>
          </c:val>
        </c:ser>
        <c:axId val="1533636974"/>
        <c:axId val="773390857"/>
      </c:barChart>
      <c:catAx>
        <c:axId val="153363697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Item</a:t>
                </a:r>
              </a:p>
            </c:rich>
          </c:tx>
          <c:overlay val="0"/>
        </c:title>
        <c:numFmt formatCode="General" sourceLinked="1"/>
        <c:majorTickMark val="none"/>
        <c:minorTickMark val="none"/>
        <c:spPr/>
        <c:txPr>
          <a:bodyPr/>
          <a:lstStyle/>
          <a:p>
            <a:pPr lvl="0">
              <a:defRPr b="1">
                <a:solidFill>
                  <a:srgbClr val="000000"/>
                </a:solidFill>
                <a:latin typeface="+mn-lt"/>
              </a:defRPr>
            </a:pPr>
          </a:p>
        </c:txPr>
        <c:crossAx val="773390857"/>
      </c:catAx>
      <c:valAx>
        <c:axId val="77339085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Sales</a:t>
                </a:r>
              </a:p>
            </c:rich>
          </c:tx>
          <c:layout>
            <c:manualLayout>
              <c:xMode val="edge"/>
              <c:yMode val="edge"/>
              <c:x val="0.21932161458333335"/>
              <c:y val="0.917654986522911"/>
            </c:manualLayout>
          </c:layout>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33636974"/>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chart" Target="../charts/chart1.xml"/><Relationship Id="rId3" Type="http://schemas.openxmlformats.org/officeDocument/2006/relationships/chart" Target="../charts/chart2.xml"/><Relationship Id="rId4" Type="http://schemas.openxmlformats.org/officeDocument/2006/relationships/chart" Target="../charts/chart3.xml"/><Relationship Id="rId5"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209550</xdr:colOff>
      <xdr:row>1</xdr:row>
      <xdr:rowOff>190500</xdr:rowOff>
    </xdr:from>
    <xdr:ext cx="1962150" cy="1133475"/>
    <xdr:pic>
      <xdr:nvPicPr>
        <xdr:cNvPr id="986972482"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209550</xdr:colOff>
      <xdr:row>8</xdr:row>
      <xdr:rowOff>133350</xdr:rowOff>
    </xdr:from>
    <xdr:ext cx="5657850" cy="29241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5</xdr:col>
      <xdr:colOff>0</xdr:colOff>
      <xdr:row>1</xdr:row>
      <xdr:rowOff>190500</xdr:rowOff>
    </xdr:from>
    <xdr:ext cx="3943350" cy="243840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5</xdr:col>
      <xdr:colOff>0</xdr:colOff>
      <xdr:row>15</xdr:row>
      <xdr:rowOff>190500</xdr:rowOff>
    </xdr:from>
    <xdr:ext cx="5657850" cy="35337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180975</xdr:colOff>
      <xdr:row>24</xdr:row>
      <xdr:rowOff>133350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xdr:col>
      <xdr:colOff>762000</xdr:colOff>
      <xdr:row>1</xdr:row>
      <xdr:rowOff>190500</xdr:rowOff>
    </xdr:from>
    <xdr:ext cx="2286000" cy="2857500"/>
    <mc:AlternateContent>
      <mc:Choice Requires="sle15">
        <xdr:graphicFrame>
          <xdr:nvGraphicFramePr>
            <xdr:cNvPr id="1" name="Year_1"/>
            <xdr:cNvGraphicFramePr/>
          </xdr:nvGraphicFramePr>
          <xdr:xfrm>
            <a:off x="0" y="0"/>
            <a:ext cx="0" cy="0"/>
          </xdr:xfrm>
          <a:graphic>
            <a:graphicData uri="http://schemas.microsoft.com/office/drawing/2010/slicer">
              <x3Unk:slicer name="Year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xdr:col>
      <xdr:colOff>762000</xdr:colOff>
      <xdr:row>3</xdr:row>
      <xdr:rowOff>190500</xdr:rowOff>
    </xdr:from>
    <xdr:ext cx="2286000" cy="2857500"/>
    <mc:AlternateContent>
      <mc:Choice Requires="sle15">
        <xdr:graphicFrame>
          <xdr:nvGraphicFramePr>
            <xdr:cNvPr id="2" name="Store_2"/>
            <xdr:cNvGraphicFramePr/>
          </xdr:nvGraphicFramePr>
          <xdr:xfrm>
            <a:off x="0" y="0"/>
            <a:ext cx="0" cy="0"/>
          </xdr:xfrm>
          <a:graphic>
            <a:graphicData uri="http://schemas.microsoft.com/office/drawing/2010/slicer">
              <x3Unk:slicer name="Store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xdr:col>
      <xdr:colOff>762000</xdr:colOff>
      <xdr:row>5</xdr:row>
      <xdr:rowOff>190500</xdr:rowOff>
    </xdr:from>
    <xdr:ext cx="2286000" cy="2857500"/>
    <mc:AlternateContent>
      <mc:Choice Requires="sle15">
        <xdr:graphicFrame>
          <xdr:nvGraphicFramePr>
            <xdr:cNvPr id="3" name="Item_3"/>
            <xdr:cNvGraphicFramePr/>
          </xdr:nvGraphicFramePr>
          <xdr:xfrm>
            <a:off x="0" y="0"/>
            <a:ext cx="0" cy="0"/>
          </xdr:xfrm>
          <a:graphic>
            <a:graphicData uri="http://schemas.microsoft.com/office/drawing/2010/slicer">
              <x3Unk:slicer name="Item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G31" sheet="Data"/>
  </cacheSource>
  <cacheFields>
    <cacheField name="Order Date" numFmtId="164">
      <sharedItems containsSemiMixedTypes="0" containsDate="1" containsString="0">
        <d v="2023-09-01T00:00:00Z"/>
        <d v="2023-02-01T00:00:00Z"/>
        <d v="2023-09-04T00:00:00Z"/>
        <d v="2023-10-01T00:00:00Z"/>
        <d v="2023-04-01T00:00:00Z"/>
        <d v="2022-10-05T00:00:00Z"/>
        <d v="2022-03-02T00:00:00Z"/>
        <d v="2022-06-04T00:00:00Z"/>
        <d v="2023-10-04T00:00:00Z"/>
        <d v="2023-08-07T00:00:00Z"/>
        <d v="2023-08-09T00:00:00Z"/>
        <d v="2022-08-07T00:00:00Z"/>
        <d v="2023-08-08T00:00:00Z"/>
        <d v="2023-08-10T00:00:00Z"/>
        <d v="2023-08-11T00:00:00Z"/>
        <d v="2023-08-12T00:00:00Z"/>
        <d v="2023-08-13T00:00:00Z"/>
        <d v="2023-08-14T00:00:00Z"/>
        <d v="2023-08-15T00:00:00Z"/>
        <d v="2023-08-16T00:00:00Z"/>
        <d v="2023-08-17T00:00:00Z"/>
        <d v="2023-08-18T00:00:00Z"/>
        <d v="2023-08-19T00:00:00Z"/>
        <d v="2023-08-20T00:00:00Z"/>
        <d v="2023-08-21T00:00:00Z"/>
        <d v="2023-08-22T00:00:00Z"/>
      </sharedItems>
    </cacheField>
    <cacheField name="Year" numFmtId="0">
      <sharedItems containsSemiMixedTypes="0" containsString="0" containsNumber="1" containsInteger="1">
        <n v="2023.0"/>
        <n v="2022.0"/>
      </sharedItems>
    </cacheField>
    <cacheField name="Store" numFmtId="0">
      <sharedItems>
        <s v="Stockpile"/>
        <s v="Redding"/>
        <s v="Laos"/>
        <s v="Reditch"/>
        <s v="London"/>
        <s v="Hull"/>
        <s v="Grimsby"/>
        <s v="Leeds"/>
        <s v="Boston"/>
        <s v="Humber"/>
      </sharedItems>
    </cacheField>
    <cacheField name="Item" numFmtId="0">
      <sharedItems>
        <s v="Pencil"/>
        <s v="Book"/>
        <s v="Ink"/>
        <s v="Table"/>
        <s v="Chair"/>
        <s v="Printing Paper"/>
        <s v="Staple Pin"/>
        <s v="Green Pen"/>
        <s v="Blue Pen"/>
        <s v="Red Pen"/>
        <s v="Diary"/>
        <s v="Note Pad"/>
        <s v="Printer"/>
        <s v="Eraser"/>
        <s v="Sharpener"/>
        <s v="Marker"/>
        <s v="Pen"/>
        <s v="Paper"/>
        <s v="Folder"/>
        <s v="Binder"/>
        <s v="Whiteboard"/>
        <s v="Clip"/>
        <s v="Chalk"/>
        <s v="Ruler"/>
        <s v="Glue Stick"/>
        <s v="Highlighter"/>
        <s v="Compass"/>
        <s v="Tape"/>
        <s v="Scissors"/>
        <s v="Notebook"/>
      </sharedItems>
    </cacheField>
    <cacheField name="Quantity Sold" numFmtId="0">
      <sharedItems containsSemiMixedTypes="0" containsString="0" containsNumber="1" containsInteger="1">
        <n v="40.0"/>
        <n v="50.0"/>
        <n v="90.0"/>
        <n v="8.0"/>
        <n v="78.0"/>
        <n v="87.0"/>
        <n v="3.0"/>
        <n v="4.0"/>
        <n v="24.0"/>
        <n v="45.0"/>
        <n v="66.0"/>
        <n v="56.0"/>
        <n v="767.0"/>
        <n v="100.0"/>
        <n v="120.0"/>
        <n v="20.0"/>
        <n v="80.0"/>
        <n v="30.0"/>
        <n v="55.0"/>
        <n v="65.0"/>
        <n v="70.0"/>
        <n v="10.0"/>
        <n v="25.0"/>
        <n v="60.0"/>
        <n v="35.0"/>
      </sharedItems>
    </cacheField>
    <cacheField name="Unit Cost(£)" numFmtId="0">
      <sharedItems containsSemiMixedTypes="0" containsString="0" containsNumber="1">
        <n v="1.0"/>
        <n v="23.0"/>
        <n v="43.0"/>
        <n v="50.0"/>
        <n v="35.0"/>
        <n v="20.0"/>
        <n v="32.0"/>
        <n v="545.0"/>
        <n v="56.0"/>
        <n v="87.0"/>
        <n v="90.0"/>
        <n v="3.0"/>
        <n v="5.0"/>
        <n v="15.0"/>
        <n v="2.0"/>
        <n v="12.0"/>
        <n v="9.0"/>
        <n v="30.0"/>
        <n v="0.5"/>
        <n v="0.75"/>
        <n v="0.9"/>
        <n v="1.2"/>
        <n v="2.5"/>
        <n v="0.8"/>
        <n v="1.1"/>
        <n v="1.5"/>
      </sharedItems>
    </cacheField>
    <cacheField name="Total Sale" numFmtId="0">
      <sharedItems containsSemiMixedTypes="0" containsString="0" containsNumber="1">
        <n v="40.0"/>
        <n v="920.0"/>
        <n v="2150.0"/>
        <n v="4500.0"/>
        <n v="280.0"/>
        <n v="1560.0"/>
        <n v="2784.0"/>
        <n v="5000.0"/>
        <n v="2180.0"/>
        <n v="1344.0"/>
        <n v="2088.0"/>
        <n v="4050.0"/>
        <n v="198.0"/>
        <n v="1288.0"/>
        <n v="3835.0"/>
        <n v="1350.0"/>
        <n v="200.0"/>
        <n v="120.0"/>
        <n v="480.0"/>
        <n v="450.0"/>
        <n v="600.0"/>
        <n v="30.0"/>
        <n v="41.25"/>
        <n v="58.5"/>
        <n v="84.0"/>
        <n v="25.0"/>
        <n v="20.0"/>
        <n v="66.0"/>
        <n v="52.5"/>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1" cacheId="0" dataCaption="" compact="0" compactData="0">
  <location ref="A1:E10" firstHeaderRow="0" firstDataRow="0" firstDataCol="0"/>
  <pivotFields>
    <pivotField name="Order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Year" compact="0" outline="0" multipleItemSelectionAllowed="1" showAll="0">
      <items>
        <item x="0"/>
        <item x="1"/>
        <item t="default"/>
      </items>
    </pivotField>
    <pivotField name="Store" compact="0" outline="0" multipleItemSelectionAllowed="1" showAll="0">
      <items>
        <item x="0"/>
        <item x="1"/>
        <item x="2"/>
        <item x="3"/>
        <item x="4"/>
        <item x="5"/>
        <item x="6"/>
        <item x="7"/>
        <item x="8"/>
        <item x="9"/>
        <item t="default"/>
      </items>
    </pivotField>
    <pivotField name="Ite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Quantity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Unit Co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Total Sa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pivotTableDefinition>
</file>

<file path=xl/pivotTables/pivotTable2.xml><?xml version="1.0" encoding="utf-8"?>
<pivotTableDefinition xmlns="http://schemas.openxmlformats.org/spreadsheetml/2006/main" name="Dashboard" cacheId="0" dataCaption="" compact="0" compactData="0">
  <location ref="A50:B61" firstHeaderRow="0" firstDataRow="1" firstDataCol="0"/>
  <pivotFields>
    <pivotField name="Order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Year" compact="0" outline="0" multipleItemSelectionAllowed="1" showAll="0">
      <items>
        <item x="0"/>
        <item x="1"/>
        <item t="default"/>
      </items>
    </pivotField>
    <pivotField name="Store" axis="axisRow" compact="0" outline="0" multipleItemSelectionAllowed="1" showAll="0" sortType="ascending">
      <items>
        <item x="8"/>
        <item x="6"/>
        <item x="5"/>
        <item x="9"/>
        <item x="2"/>
        <item x="7"/>
        <item x="4"/>
        <item x="1"/>
        <item x="3"/>
        <item x="0"/>
        <item t="default"/>
      </items>
    </pivotField>
    <pivotField name="Ite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Quantity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Unit Co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Total Sal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Fields>
    <field x="2"/>
  </rowFields>
  <dataFields>
    <dataField name="SUM of Total Sale" fld="6" baseField="0"/>
  </dataFields>
</pivotTableDefinition>
</file>

<file path=xl/pivotTables/pivotTable3.xml><?xml version="1.0" encoding="utf-8"?>
<pivotTableDefinition xmlns="http://schemas.openxmlformats.org/spreadsheetml/2006/main" name="Dashboard 2" cacheId="0" dataCaption="" compact="0" compactData="0">
  <location ref="D50:E81" firstHeaderRow="0" firstDataRow="1" firstDataCol="0"/>
  <pivotFields>
    <pivotField name="Order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Year" compact="0" outline="0" multipleItemSelectionAllowed="1" showAll="0">
      <items>
        <item x="0"/>
        <item x="1"/>
        <item t="default"/>
      </items>
    </pivotField>
    <pivotField name="Store" compact="0" outline="0" multipleItemSelectionAllowed="1" showAll="0">
      <items>
        <item x="0"/>
        <item x="1"/>
        <item x="2"/>
        <item x="3"/>
        <item x="4"/>
        <item x="5"/>
        <item x="6"/>
        <item x="7"/>
        <item x="8"/>
        <item x="9"/>
        <item t="default"/>
      </items>
    </pivotField>
    <pivotField name="Item" axis="axisRow" compact="0" outline="0" multipleItemSelectionAllowed="1" showAll="0" sortType="ascending">
      <items>
        <item x="19"/>
        <item x="8"/>
        <item x="1"/>
        <item x="4"/>
        <item x="22"/>
        <item x="21"/>
        <item x="26"/>
        <item x="10"/>
        <item x="13"/>
        <item x="18"/>
        <item x="24"/>
        <item x="7"/>
        <item x="25"/>
        <item x="2"/>
        <item x="15"/>
        <item x="11"/>
        <item x="29"/>
        <item x="17"/>
        <item x="16"/>
        <item x="0"/>
        <item x="12"/>
        <item x="5"/>
        <item x="9"/>
        <item x="23"/>
        <item x="28"/>
        <item x="14"/>
        <item x="6"/>
        <item x="3"/>
        <item x="27"/>
        <item x="20"/>
        <item t="default"/>
      </items>
    </pivotField>
    <pivotField name="Quantity Sol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Unit Co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Total Sa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Fields>
    <field x="3"/>
  </rowFields>
  <dataFields>
    <dataField name="SUM of Quantity Sold" fld="4" baseField="0"/>
  </dataFields>
</pivotTableDefinition>
</file>

<file path=xl/pivotTables/pivotTable4.xml><?xml version="1.0" encoding="utf-8"?>
<pivotTableDefinition xmlns="http://schemas.openxmlformats.org/spreadsheetml/2006/main" name="Dashboard 3" cacheId="0" dataCaption="" compact="0" compactData="0">
  <location ref="G50:H53" firstHeaderRow="0" firstDataRow="1" firstDataCol="0"/>
  <pivotFields>
    <pivotField name="Order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Year" axis="axisRow" compact="0" outline="0" multipleItemSelectionAllowed="1" showAll="0" sortType="ascending">
      <items>
        <item x="1"/>
        <item x="0"/>
        <item t="default"/>
      </items>
    </pivotField>
    <pivotField name="Store" compact="0" outline="0" multipleItemSelectionAllowed="1" showAll="0">
      <items>
        <item x="0"/>
        <item x="1"/>
        <item x="2"/>
        <item x="3"/>
        <item x="4"/>
        <item x="5"/>
        <item x="6"/>
        <item x="7"/>
        <item x="8"/>
        <item x="9"/>
        <item t="default"/>
      </items>
    </pivotField>
    <pivotField name="Ite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Quantity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Unit Co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Total Sal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Fields>
    <field x="1"/>
  </rowFields>
  <dataFields>
    <dataField name="SUM of Total Sale" fld="6" baseField="0"/>
  </dataFields>
</pivotTableDefinition>
</file>

<file path=xl/pivotTables/pivotTable5.xml><?xml version="1.0" encoding="utf-8"?>
<pivotTableDefinition xmlns="http://schemas.openxmlformats.org/spreadsheetml/2006/main" name="Dashboard 4" cacheId="0" dataCaption="" compact="0" compactData="0">
  <location ref="J50:K81" firstHeaderRow="0" firstDataRow="1" firstDataCol="0"/>
  <pivotFields>
    <pivotField name="Order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Year" compact="0" outline="0" multipleItemSelectionAllowed="1" showAll="0">
      <items>
        <item x="0"/>
        <item x="1"/>
        <item t="default"/>
      </items>
    </pivotField>
    <pivotField name="Store" compact="0" outline="0" multipleItemSelectionAllowed="1" showAll="0">
      <items>
        <item x="0"/>
        <item x="1"/>
        <item x="2"/>
        <item x="3"/>
        <item x="4"/>
        <item x="5"/>
        <item x="6"/>
        <item x="7"/>
        <item x="8"/>
        <item x="9"/>
        <item t="default"/>
      </items>
    </pivotField>
    <pivotField name="Item" axis="axisRow" compact="0" outline="0" multipleItemSelectionAllowed="1" showAll="0" sortType="ascending">
      <items>
        <item x="19"/>
        <item x="8"/>
        <item x="1"/>
        <item x="4"/>
        <item x="22"/>
        <item x="21"/>
        <item x="26"/>
        <item x="10"/>
        <item x="13"/>
        <item x="18"/>
        <item x="24"/>
        <item x="7"/>
        <item x="25"/>
        <item x="2"/>
        <item x="15"/>
        <item x="11"/>
        <item x="29"/>
        <item x="17"/>
        <item x="16"/>
        <item x="0"/>
        <item x="12"/>
        <item x="5"/>
        <item x="9"/>
        <item x="23"/>
        <item x="28"/>
        <item x="14"/>
        <item x="6"/>
        <item x="3"/>
        <item x="27"/>
        <item x="20"/>
        <item t="default"/>
      </items>
    </pivotField>
    <pivotField name="Quantity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Unit Co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Total Sal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Fields>
    <field x="3"/>
  </rowFields>
  <dataFields>
    <dataField name="SUM of Total Sale" fld="6"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 sourceName="Year">
  <x14:extLst>
    <ext uri="{2F2917AC-EB37-4324-AD4E-5DD8C200BD13}">
      <x15:tableSlicerCache tableId="1" column="2"/>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Store">
  <x14:extLst>
    <ext uri="{2F2917AC-EB37-4324-AD4E-5DD8C200BD13}">
      <x15:tableSlicerCache tableId="1" column="3"/>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4" sourceName="Item">
  <x14:extLst>
    <ext uri="{2F2917AC-EB37-4324-AD4E-5DD8C200BD13}">
      <x15:tableSlicerCache tableId="1" column="4"/>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Year_1" cache="SlicerCache_Table_1_Col_2" caption="Year" rowHeight="247650"/>
  <x14:slicer name="Store_2" cache="SlicerCache_Table_1_Col_3" caption="Store" rowHeight="247650"/>
  <x14:slicer name="Item_3" cache="SlicerCache_Table_1_Col_4" caption="Item" rowHeight="247650"/>
</x14:slicers>
</file>

<file path=xl/tables/table1.xml><?xml version="1.0" encoding="utf-8"?>
<table xmlns="http://schemas.openxmlformats.org/spreadsheetml/2006/main" ref="A1:G31" displayName="Table_1" name="Table_1" id="1">
  <autoFilter ref="$A$1:$G$31"/>
  <tableColumns count="7">
    <tableColumn name="Order Date" id="1"/>
    <tableColumn name="Year" id="2"/>
    <tableColumn name="Store" id="3"/>
    <tableColumn name="Item" id="4"/>
    <tableColumn name="Quantity Sold" id="5"/>
    <tableColumn name="Unit Cost(£)" id="6"/>
    <tableColumn name="Total Sale" id="7"/>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pivotTable" Target="../pivotTables/pivotTable3.xml"/><Relationship Id="rId3" Type="http://schemas.openxmlformats.org/officeDocument/2006/relationships/pivotTable" Target="../pivotTables/pivotTable4.xml"/><Relationship Id="rId4" Type="http://schemas.openxmlformats.org/officeDocument/2006/relationships/pivotTable" Target="../pivotTables/pivotTable5.xml"/><Relationship Id="rId5" Type="http://schemas.openxmlformats.org/officeDocument/2006/relationships/drawing" Target="../drawings/drawing3.xml"/><Relationship Id="rId6"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2">
        <v>45170.0</v>
      </c>
      <c r="B2" s="1">
        <v>2023.0</v>
      </c>
      <c r="C2" s="1" t="s">
        <v>7</v>
      </c>
      <c r="D2" s="1" t="s">
        <v>8</v>
      </c>
      <c r="E2" s="1">
        <v>40.0</v>
      </c>
      <c r="F2" s="1">
        <v>1.0</v>
      </c>
      <c r="G2" s="1">
        <v>40.0</v>
      </c>
    </row>
    <row r="3">
      <c r="A3" s="2">
        <v>44958.0</v>
      </c>
      <c r="B3" s="1">
        <v>2023.0</v>
      </c>
      <c r="C3" s="1" t="s">
        <v>9</v>
      </c>
      <c r="D3" s="1" t="s">
        <v>10</v>
      </c>
      <c r="E3" s="1">
        <v>40.0</v>
      </c>
      <c r="F3" s="1">
        <v>23.0</v>
      </c>
      <c r="G3" s="1">
        <v>920.0</v>
      </c>
    </row>
    <row r="4">
      <c r="A4" s="2">
        <v>45173.0</v>
      </c>
      <c r="B4" s="1">
        <v>2023.0</v>
      </c>
      <c r="C4" s="1" t="s">
        <v>11</v>
      </c>
      <c r="D4" s="1" t="s">
        <v>12</v>
      </c>
      <c r="E4" s="1">
        <v>50.0</v>
      </c>
      <c r="F4" s="1">
        <v>43.0</v>
      </c>
      <c r="G4" s="1">
        <v>2150.0</v>
      </c>
    </row>
    <row r="5">
      <c r="A5" s="2">
        <v>45200.0</v>
      </c>
      <c r="B5" s="1">
        <v>2023.0</v>
      </c>
      <c r="C5" s="1" t="s">
        <v>13</v>
      </c>
      <c r="D5" s="1" t="s">
        <v>14</v>
      </c>
      <c r="E5" s="1">
        <v>90.0</v>
      </c>
      <c r="F5" s="1">
        <v>50.0</v>
      </c>
      <c r="G5" s="1">
        <v>4500.0</v>
      </c>
    </row>
    <row r="6">
      <c r="A6" s="2">
        <v>45017.0</v>
      </c>
      <c r="B6" s="1">
        <v>2023.0</v>
      </c>
      <c r="C6" s="1" t="s">
        <v>15</v>
      </c>
      <c r="D6" s="1" t="s">
        <v>16</v>
      </c>
      <c r="E6" s="1">
        <v>8.0</v>
      </c>
      <c r="F6" s="1">
        <v>35.0</v>
      </c>
      <c r="G6" s="1">
        <v>280.0</v>
      </c>
    </row>
    <row r="7">
      <c r="A7" s="2">
        <v>44839.0</v>
      </c>
      <c r="B7" s="1">
        <v>2022.0</v>
      </c>
      <c r="C7" s="1" t="s">
        <v>17</v>
      </c>
      <c r="D7" s="1" t="s">
        <v>18</v>
      </c>
      <c r="E7" s="1">
        <v>78.0</v>
      </c>
      <c r="F7" s="1">
        <v>20.0</v>
      </c>
      <c r="G7" s="1">
        <v>1560.0</v>
      </c>
    </row>
    <row r="8">
      <c r="A8" s="2">
        <v>44622.0</v>
      </c>
      <c r="B8" s="1">
        <v>2022.0</v>
      </c>
      <c r="C8" s="1" t="s">
        <v>19</v>
      </c>
      <c r="D8" s="1" t="s">
        <v>20</v>
      </c>
      <c r="E8" s="1">
        <v>87.0</v>
      </c>
      <c r="F8" s="1">
        <v>32.0</v>
      </c>
      <c r="G8" s="1">
        <v>2784.0</v>
      </c>
    </row>
    <row r="9">
      <c r="A9" s="2">
        <v>44716.0</v>
      </c>
      <c r="B9" s="1">
        <v>2022.0</v>
      </c>
      <c r="C9" s="1" t="s">
        <v>21</v>
      </c>
      <c r="D9" s="1" t="s">
        <v>22</v>
      </c>
      <c r="E9" s="1">
        <v>3.0</v>
      </c>
      <c r="F9" s="1">
        <v>43.0</v>
      </c>
      <c r="G9" s="1">
        <v>5000.0</v>
      </c>
    </row>
    <row r="10">
      <c r="A10" s="2">
        <v>45203.0</v>
      </c>
      <c r="B10" s="1">
        <v>2023.0</v>
      </c>
      <c r="C10" s="1" t="s">
        <v>23</v>
      </c>
      <c r="D10" s="1" t="s">
        <v>24</v>
      </c>
      <c r="E10" s="1">
        <v>4.0</v>
      </c>
      <c r="F10" s="1">
        <v>545.0</v>
      </c>
      <c r="G10" s="1">
        <v>2180.0</v>
      </c>
    </row>
    <row r="11">
      <c r="A11" s="2">
        <v>45145.0</v>
      </c>
      <c r="B11" s="1">
        <v>2023.0</v>
      </c>
      <c r="C11" s="1" t="s">
        <v>25</v>
      </c>
      <c r="D11" s="1" t="s">
        <v>26</v>
      </c>
      <c r="E11" s="1">
        <v>24.0</v>
      </c>
      <c r="F11" s="1">
        <v>56.0</v>
      </c>
      <c r="G11" s="1">
        <v>1344.0</v>
      </c>
    </row>
    <row r="12">
      <c r="A12" s="2">
        <v>45147.0</v>
      </c>
      <c r="B12" s="1">
        <v>2023.0</v>
      </c>
      <c r="C12" s="1" t="s">
        <v>7</v>
      </c>
      <c r="D12" s="1" t="s">
        <v>27</v>
      </c>
      <c r="E12" s="1">
        <v>24.0</v>
      </c>
      <c r="F12" s="1">
        <v>87.0</v>
      </c>
      <c r="G12" s="1">
        <v>2088.0</v>
      </c>
    </row>
    <row r="13">
      <c r="A13" s="2">
        <v>44780.0</v>
      </c>
      <c r="B13" s="1">
        <v>2022.0</v>
      </c>
      <c r="C13" s="1" t="s">
        <v>9</v>
      </c>
      <c r="D13" s="1" t="s">
        <v>28</v>
      </c>
      <c r="E13" s="1">
        <v>45.0</v>
      </c>
      <c r="F13" s="1">
        <v>90.0</v>
      </c>
      <c r="G13" s="1">
        <v>4050.0</v>
      </c>
    </row>
    <row r="14">
      <c r="A14" s="2">
        <v>44780.0</v>
      </c>
      <c r="B14" s="1">
        <v>2022.0</v>
      </c>
      <c r="C14" s="1" t="s">
        <v>11</v>
      </c>
      <c r="D14" s="1" t="s">
        <v>29</v>
      </c>
      <c r="E14" s="1">
        <v>66.0</v>
      </c>
      <c r="F14" s="1">
        <v>3.0</v>
      </c>
      <c r="G14" s="1">
        <v>198.0</v>
      </c>
    </row>
    <row r="15">
      <c r="A15" s="2">
        <v>45145.0</v>
      </c>
      <c r="B15" s="1">
        <v>2023.0</v>
      </c>
      <c r="C15" s="1" t="s">
        <v>13</v>
      </c>
      <c r="D15" s="1" t="s">
        <v>30</v>
      </c>
      <c r="E15" s="1">
        <v>56.0</v>
      </c>
      <c r="F15" s="1">
        <v>23.0</v>
      </c>
      <c r="G15" s="1">
        <v>1288.0</v>
      </c>
    </row>
    <row r="16">
      <c r="A16" s="3">
        <v>45145.0</v>
      </c>
      <c r="B16" s="1">
        <v>2023.0</v>
      </c>
      <c r="C16" s="1" t="s">
        <v>21</v>
      </c>
      <c r="D16" s="1" t="s">
        <v>31</v>
      </c>
      <c r="E16" s="1">
        <v>767.0</v>
      </c>
      <c r="F16" s="1">
        <v>5.0</v>
      </c>
      <c r="G16" s="1">
        <v>3835.0</v>
      </c>
    </row>
    <row r="17">
      <c r="A17" s="3">
        <v>45146.0</v>
      </c>
      <c r="B17" s="1">
        <v>2023.0</v>
      </c>
      <c r="C17" s="1" t="s">
        <v>7</v>
      </c>
      <c r="D17" s="1" t="s">
        <v>32</v>
      </c>
      <c r="E17" s="1">
        <v>90.0</v>
      </c>
      <c r="F17" s="1">
        <v>15.0</v>
      </c>
      <c r="G17" s="1">
        <v>1350.0</v>
      </c>
    </row>
    <row r="18">
      <c r="A18" s="3">
        <v>45147.0</v>
      </c>
      <c r="B18" s="1">
        <v>2023.0</v>
      </c>
      <c r="C18" s="1" t="s">
        <v>9</v>
      </c>
      <c r="D18" s="1" t="s">
        <v>33</v>
      </c>
      <c r="E18" s="1">
        <v>100.0</v>
      </c>
      <c r="F18" s="1">
        <v>2.0</v>
      </c>
      <c r="G18" s="1">
        <v>200.0</v>
      </c>
    </row>
    <row r="19">
      <c r="A19" s="3">
        <v>45148.0</v>
      </c>
      <c r="B19" s="1">
        <v>2023.0</v>
      </c>
      <c r="C19" s="1" t="s">
        <v>11</v>
      </c>
      <c r="D19" s="1" t="s">
        <v>34</v>
      </c>
      <c r="E19" s="1">
        <v>120.0</v>
      </c>
      <c r="F19" s="1">
        <v>1.0</v>
      </c>
      <c r="G19" s="1">
        <v>120.0</v>
      </c>
    </row>
    <row r="20">
      <c r="A20" s="3">
        <v>45149.0</v>
      </c>
      <c r="B20" s="1">
        <v>2023.0</v>
      </c>
      <c r="C20" s="1" t="s">
        <v>13</v>
      </c>
      <c r="D20" s="1" t="s">
        <v>35</v>
      </c>
      <c r="E20" s="1">
        <v>40.0</v>
      </c>
      <c r="F20" s="1">
        <v>12.0</v>
      </c>
      <c r="G20" s="1">
        <v>480.0</v>
      </c>
    </row>
    <row r="21">
      <c r="A21" s="3">
        <v>45150.0</v>
      </c>
      <c r="B21" s="1">
        <v>2023.0</v>
      </c>
      <c r="C21" s="1" t="s">
        <v>15</v>
      </c>
      <c r="D21" s="1" t="s">
        <v>36</v>
      </c>
      <c r="E21" s="1">
        <v>50.0</v>
      </c>
      <c r="F21" s="1">
        <v>9.0</v>
      </c>
      <c r="G21" s="1">
        <v>450.0</v>
      </c>
    </row>
    <row r="22">
      <c r="A22" s="3">
        <v>45151.0</v>
      </c>
      <c r="B22" s="1">
        <v>2023.0</v>
      </c>
      <c r="C22" s="1" t="s">
        <v>17</v>
      </c>
      <c r="D22" s="1" t="s">
        <v>37</v>
      </c>
      <c r="E22" s="1">
        <v>20.0</v>
      </c>
      <c r="F22" s="1">
        <v>30.0</v>
      </c>
      <c r="G22" s="1">
        <v>600.0</v>
      </c>
    </row>
    <row r="23">
      <c r="A23" s="3">
        <v>45152.0</v>
      </c>
      <c r="B23" s="1">
        <v>2023.0</v>
      </c>
      <c r="C23" s="1" t="s">
        <v>19</v>
      </c>
      <c r="D23" s="1" t="s">
        <v>38</v>
      </c>
      <c r="E23" s="1">
        <v>80.0</v>
      </c>
      <c r="F23" s="1">
        <v>0.5</v>
      </c>
      <c r="G23" s="1">
        <v>40.0</v>
      </c>
    </row>
    <row r="24">
      <c r="A24" s="3">
        <v>45153.0</v>
      </c>
      <c r="B24" s="1">
        <v>2023.0</v>
      </c>
      <c r="C24" s="1" t="s">
        <v>21</v>
      </c>
      <c r="D24" s="1" t="s">
        <v>39</v>
      </c>
      <c r="E24" s="1">
        <v>30.0</v>
      </c>
      <c r="F24" s="1">
        <v>1.0</v>
      </c>
      <c r="G24" s="1">
        <v>30.0</v>
      </c>
    </row>
    <row r="25">
      <c r="A25" s="3">
        <v>45154.0</v>
      </c>
      <c r="B25" s="1">
        <v>2023.0</v>
      </c>
      <c r="C25" s="1" t="s">
        <v>23</v>
      </c>
      <c r="D25" s="1" t="s">
        <v>40</v>
      </c>
      <c r="E25" s="1">
        <v>55.0</v>
      </c>
      <c r="F25" s="1">
        <v>0.75</v>
      </c>
      <c r="G25" s="1">
        <v>41.25</v>
      </c>
    </row>
    <row r="26">
      <c r="A26" s="3">
        <v>45155.0</v>
      </c>
      <c r="B26" s="1">
        <v>2023.0</v>
      </c>
      <c r="C26" s="1" t="s">
        <v>25</v>
      </c>
      <c r="D26" s="1" t="s">
        <v>41</v>
      </c>
      <c r="E26" s="1">
        <v>65.0</v>
      </c>
      <c r="F26" s="1">
        <v>0.9</v>
      </c>
      <c r="G26" s="1">
        <v>58.5</v>
      </c>
    </row>
    <row r="27">
      <c r="A27" s="3">
        <v>45156.0</v>
      </c>
      <c r="B27" s="1">
        <v>2023.0</v>
      </c>
      <c r="C27" s="1" t="s">
        <v>7</v>
      </c>
      <c r="D27" s="1" t="s">
        <v>42</v>
      </c>
      <c r="E27" s="1">
        <v>70.0</v>
      </c>
      <c r="F27" s="1">
        <v>1.2</v>
      </c>
      <c r="G27" s="1">
        <v>84.0</v>
      </c>
    </row>
    <row r="28">
      <c r="A28" s="3">
        <v>45157.0</v>
      </c>
      <c r="B28" s="1">
        <v>2023.0</v>
      </c>
      <c r="C28" s="1" t="s">
        <v>9</v>
      </c>
      <c r="D28" s="1" t="s">
        <v>43</v>
      </c>
      <c r="E28" s="1">
        <v>10.0</v>
      </c>
      <c r="F28" s="1">
        <v>2.5</v>
      </c>
      <c r="G28" s="1">
        <v>25.0</v>
      </c>
    </row>
    <row r="29">
      <c r="A29" s="3">
        <v>45158.0</v>
      </c>
      <c r="B29" s="1">
        <v>2023.0</v>
      </c>
      <c r="C29" s="1" t="s">
        <v>11</v>
      </c>
      <c r="D29" s="1" t="s">
        <v>44</v>
      </c>
      <c r="E29" s="1">
        <v>25.0</v>
      </c>
      <c r="F29" s="1">
        <v>0.8</v>
      </c>
      <c r="G29" s="1">
        <v>20.0</v>
      </c>
    </row>
    <row r="30">
      <c r="A30" s="3">
        <v>45159.0</v>
      </c>
      <c r="B30" s="1">
        <v>2023.0</v>
      </c>
      <c r="C30" s="1" t="s">
        <v>13</v>
      </c>
      <c r="D30" s="1" t="s">
        <v>45</v>
      </c>
      <c r="E30" s="1">
        <v>60.0</v>
      </c>
      <c r="F30" s="1">
        <v>1.1</v>
      </c>
      <c r="G30" s="1">
        <v>66.0</v>
      </c>
    </row>
    <row r="31">
      <c r="A31" s="3">
        <v>45160.0</v>
      </c>
      <c r="B31" s="1">
        <v>2023.0</v>
      </c>
      <c r="C31" s="1" t="s">
        <v>15</v>
      </c>
      <c r="D31" s="1" t="s">
        <v>46</v>
      </c>
      <c r="E31" s="1">
        <v>35.0</v>
      </c>
      <c r="F31" s="1">
        <v>1.5</v>
      </c>
      <c r="G31" s="1">
        <v>52.5</v>
      </c>
    </row>
  </sheetData>
  <customSheetViews>
    <customSheetView guid="{CFA03299-46A3-43F4-A576-C26D1B352B43}" filter="1" showAutoFilter="1">
      <autoFilter ref="$A$1:$G$31"/>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75"/>
  </cols>
  <sheetData>
    <row r="1">
      <c r="A1" s="5" t="s">
        <v>50</v>
      </c>
    </row>
    <row r="50"/>
    <row r="51"/>
    <row r="52"/>
    <row r="53"/>
    <row r="54"/>
    <row r="55"/>
    <row r="56"/>
    <row r="57"/>
    <row r="58"/>
    <row r="59"/>
    <row r="60"/>
    <row r="61"/>
    <row r="62"/>
    <row r="63"/>
    <row r="64"/>
    <row r="65"/>
    <row r="66"/>
    <row r="67"/>
    <row r="68"/>
    <row r="69"/>
    <row r="70"/>
    <row r="71"/>
    <row r="72"/>
    <row r="73"/>
    <row r="74"/>
    <row r="75"/>
    <row r="76"/>
    <row r="77"/>
    <row r="78"/>
    <row r="79"/>
    <row r="80"/>
    <row r="81"/>
  </sheetData>
  <drawing r:id="rId5"/>
  <extLst>
    <ext uri="{3A4CF648-6AED-40f4-86FF-DC5316D8AED3}">
      <x14:slicerList>
        <x14:slicer r:id="rId6"/>
      </x14:slicerList>
    </ext>
  </extLst>
</worksheet>
</file>